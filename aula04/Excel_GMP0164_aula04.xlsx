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G\PPGGMP\BiometriaDaInteracaoGxA\aulas\"/>
    </mc:Choice>
  </mc:AlternateContent>
  <xr:revisionPtr revIDLastSave="0" documentId="8_{F674F2B3-CECC-4F0B-980B-7C24BCFB071A}" xr6:coauthVersionLast="47" xr6:coauthVersionMax="47" xr10:uidLastSave="{00000000-0000-0000-0000-000000000000}"/>
  <bookViews>
    <workbookView xWindow="-120" yWindow="-120" windowWidth="29040" windowHeight="15720" xr2:uid="{DB849212-7977-43AB-92B1-68DF51292B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  <c r="L48" i="1"/>
  <c r="L49" i="1"/>
  <c r="L50" i="1"/>
  <c r="L51" i="1"/>
  <c r="L52" i="1"/>
  <c r="L53" i="1"/>
  <c r="L54" i="1"/>
  <c r="L55" i="1"/>
  <c r="L56" i="1"/>
  <c r="L57" i="1"/>
  <c r="L58" i="1"/>
  <c r="L47" i="1"/>
  <c r="C59" i="1"/>
  <c r="D59" i="1"/>
  <c r="E59" i="1"/>
  <c r="F59" i="1"/>
  <c r="G59" i="1"/>
  <c r="H59" i="1"/>
  <c r="I59" i="1"/>
  <c r="J59" i="1"/>
  <c r="K59" i="1"/>
  <c r="B59" i="1"/>
  <c r="B48" i="1"/>
  <c r="C48" i="1"/>
  <c r="D48" i="1"/>
  <c r="L59" i="1" s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C47" i="1"/>
  <c r="D47" i="1"/>
  <c r="E47" i="1"/>
  <c r="F47" i="1"/>
  <c r="G47" i="1"/>
  <c r="H47" i="1"/>
  <c r="I47" i="1"/>
  <c r="J47" i="1"/>
  <c r="K47" i="1"/>
  <c r="B47" i="1"/>
  <c r="L29" i="1"/>
  <c r="C44" i="1"/>
  <c r="D44" i="1"/>
  <c r="E44" i="1"/>
  <c r="F44" i="1"/>
  <c r="G44" i="1"/>
  <c r="H44" i="1"/>
  <c r="I44" i="1"/>
  <c r="J44" i="1"/>
  <c r="K44" i="1"/>
  <c r="B44" i="1"/>
  <c r="L33" i="1"/>
  <c r="L34" i="1"/>
  <c r="L35" i="1"/>
  <c r="L36" i="1"/>
  <c r="L37" i="1"/>
  <c r="L38" i="1"/>
  <c r="L39" i="1"/>
  <c r="L40" i="1"/>
  <c r="L41" i="1"/>
  <c r="L42" i="1"/>
  <c r="L43" i="1"/>
  <c r="L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G17" i="1"/>
  <c r="G29" i="1" s="1"/>
  <c r="H17" i="1"/>
  <c r="K17" i="1"/>
  <c r="G18" i="1"/>
  <c r="K18" i="1"/>
  <c r="G19" i="1"/>
  <c r="H19" i="1"/>
  <c r="I19" i="1"/>
  <c r="J19" i="1"/>
  <c r="K19" i="1"/>
  <c r="C20" i="1"/>
  <c r="D20" i="1"/>
  <c r="G20" i="1"/>
  <c r="H20" i="1"/>
  <c r="I20" i="1"/>
  <c r="G21" i="1"/>
  <c r="H21" i="1"/>
  <c r="I21" i="1"/>
  <c r="J21" i="1"/>
  <c r="K21" i="1"/>
  <c r="G22" i="1"/>
  <c r="H22" i="1"/>
  <c r="I22" i="1"/>
  <c r="J22" i="1"/>
  <c r="K22" i="1"/>
  <c r="K23" i="1"/>
  <c r="G24" i="1"/>
  <c r="H24" i="1"/>
  <c r="I24" i="1"/>
  <c r="J24" i="1"/>
  <c r="K24" i="1"/>
  <c r="G25" i="1"/>
  <c r="H25" i="1"/>
  <c r="K25" i="1"/>
  <c r="G26" i="1"/>
  <c r="K26" i="1"/>
  <c r="G27" i="1"/>
  <c r="H27" i="1"/>
  <c r="I27" i="1"/>
  <c r="J27" i="1"/>
  <c r="K27" i="1"/>
  <c r="C28" i="1"/>
  <c r="D28" i="1"/>
  <c r="G28" i="1"/>
  <c r="H28" i="1"/>
  <c r="I28" i="1"/>
  <c r="B18" i="1"/>
  <c r="B19" i="1"/>
  <c r="B20" i="1"/>
  <c r="B21" i="1"/>
  <c r="B22" i="1"/>
  <c r="B23" i="1"/>
  <c r="B24" i="1"/>
  <c r="B25" i="1"/>
  <c r="B26" i="1"/>
  <c r="B27" i="1"/>
  <c r="B28" i="1"/>
  <c r="B17" i="1"/>
  <c r="L14" i="1"/>
  <c r="C14" i="1"/>
  <c r="C23" i="1" s="1"/>
  <c r="D14" i="1"/>
  <c r="D27" i="1" s="1"/>
  <c r="E14" i="1"/>
  <c r="E23" i="1" s="1"/>
  <c r="F14" i="1"/>
  <c r="F20" i="1" s="1"/>
  <c r="G14" i="1"/>
  <c r="G23" i="1" s="1"/>
  <c r="H14" i="1"/>
  <c r="H26" i="1" s="1"/>
  <c r="I14" i="1"/>
  <c r="I17" i="1" s="1"/>
  <c r="J14" i="1"/>
  <c r="J17" i="1" s="1"/>
  <c r="K14" i="1"/>
  <c r="K20" i="1" s="1"/>
  <c r="B14" i="1"/>
  <c r="L3" i="1"/>
  <c r="L4" i="1"/>
  <c r="L5" i="1"/>
  <c r="L6" i="1"/>
  <c r="L7" i="1"/>
  <c r="L8" i="1"/>
  <c r="L9" i="1"/>
  <c r="L10" i="1"/>
  <c r="L11" i="1"/>
  <c r="L12" i="1"/>
  <c r="L13" i="1"/>
  <c r="L2" i="1"/>
  <c r="C32" i="1" s="1"/>
  <c r="I29" i="1" l="1"/>
  <c r="L21" i="1"/>
  <c r="M21" i="1" s="1"/>
  <c r="D25" i="1"/>
  <c r="E20" i="1"/>
  <c r="L20" i="1" s="1"/>
  <c r="M20" i="1" s="1"/>
  <c r="E25" i="1"/>
  <c r="F22" i="1"/>
  <c r="C22" i="1"/>
  <c r="L22" i="1" s="1"/>
  <c r="M22" i="1" s="1"/>
  <c r="E27" i="1"/>
  <c r="E19" i="1"/>
  <c r="C27" i="1"/>
  <c r="L27" i="1" s="1"/>
  <c r="M27" i="1" s="1"/>
  <c r="E24" i="1"/>
  <c r="J26" i="1"/>
  <c r="J29" i="1" s="1"/>
  <c r="D24" i="1"/>
  <c r="J18" i="1"/>
  <c r="I26" i="1"/>
  <c r="F21" i="1"/>
  <c r="E21" i="1"/>
  <c r="H18" i="1"/>
  <c r="B32" i="1"/>
  <c r="J23" i="1"/>
  <c r="K32" i="1"/>
  <c r="B29" i="1"/>
  <c r="F26" i="1"/>
  <c r="C21" i="1"/>
  <c r="F18" i="1"/>
  <c r="K28" i="1"/>
  <c r="K29" i="1" s="1"/>
  <c r="E26" i="1"/>
  <c r="H23" i="1"/>
  <c r="H29" i="1" s="1"/>
  <c r="E18" i="1"/>
  <c r="I32" i="1"/>
  <c r="E28" i="1"/>
  <c r="L28" i="1" s="1"/>
  <c r="M28" i="1" s="1"/>
  <c r="F25" i="1"/>
  <c r="F17" i="1"/>
  <c r="F29" i="1" s="1"/>
  <c r="D17" i="1"/>
  <c r="C17" i="1"/>
  <c r="C29" i="1" s="1"/>
  <c r="E22" i="1"/>
  <c r="C19" i="1"/>
  <c r="C24" i="1"/>
  <c r="L24" i="1" s="1"/>
  <c r="M24" i="1" s="1"/>
  <c r="I18" i="1"/>
  <c r="D21" i="1"/>
  <c r="I23" i="1"/>
  <c r="J32" i="1"/>
  <c r="J28" i="1"/>
  <c r="D26" i="1"/>
  <c r="J20" i="1"/>
  <c r="D18" i="1"/>
  <c r="H32" i="1"/>
  <c r="G32" i="1"/>
  <c r="E17" i="1"/>
  <c r="F27" i="1"/>
  <c r="F19" i="1"/>
  <c r="D19" i="1"/>
  <c r="F24" i="1"/>
  <c r="C26" i="1"/>
  <c r="L26" i="1" s="1"/>
  <c r="M26" i="1" s="1"/>
  <c r="F23" i="1"/>
  <c r="C18" i="1"/>
  <c r="L18" i="1" s="1"/>
  <c r="M18" i="1" s="1"/>
  <c r="D23" i="1"/>
  <c r="L23" i="1" s="1"/>
  <c r="M23" i="1" s="1"/>
  <c r="E32" i="1"/>
  <c r="C25" i="1"/>
  <c r="L25" i="1" s="1"/>
  <c r="M25" i="1" s="1"/>
  <c r="D22" i="1"/>
  <c r="F32" i="1"/>
  <c r="J25" i="1"/>
  <c r="F28" i="1"/>
  <c r="I25" i="1"/>
  <c r="D32" i="1"/>
  <c r="D29" i="1" l="1"/>
  <c r="L17" i="1"/>
  <c r="M17" i="1" s="1"/>
  <c r="E29" i="1"/>
  <c r="L19" i="1"/>
  <c r="M19" i="1" s="1"/>
</calcChain>
</file>

<file path=xl/sharedStrings.xml><?xml version="1.0" encoding="utf-8"?>
<sst xmlns="http://schemas.openxmlformats.org/spreadsheetml/2006/main" count="99" uniqueCount="30">
  <si>
    <t>Cultivar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</si>
  <si>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</si>
  <si>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</si>
  <si>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</si>
  <si>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</si>
  <si>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</si>
  <si>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</si>
  <si>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</si>
  <si>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</si>
  <si>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</si>
  <si>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</si>
  <si>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</si>
  <si>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</si>
  <si>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</si>
  <si>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</si>
  <si>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</si>
  <si>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</si>
  <si>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</si>
  <si>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</si>
  <si>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</si>
  <si>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</si>
  <si>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</si>
  <si>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</si>
  <si>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y=g+e+ge</t>
  </si>
  <si>
    <t>y=g+ge</t>
  </si>
  <si>
    <t>y=e+ge</t>
  </si>
  <si>
    <t>OBS.: a título de curiosidade, na prática nunca vi usar...</t>
  </si>
  <si>
    <t>y=ge</t>
  </si>
  <si>
    <t>Pode ser usar como suporte para alguma conta, para interpretar nunca vi</t>
  </si>
  <si>
    <t>Talvez como algum índice ambiental...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</si>
</sst>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92F5-1263-4320-BAA4-5D130190BADA}">
  <dimension ref="A1:AB59"/>
  <sheetViews>
    <sheetView tabSelected="1" zoomScale="130" zoomScaleNormal="130" workbookViewId="0">
      <selection activeCell="I64" sqref="I64"/>
    </sheetView>
  </sheetViews>
  <sheetFormatPr defaultRowHeight="13.5" customHeight="1" x14ac:dyDescent="0.25"/>
  <cols>
    <col min="1" max="16384" width="9.140625" style="1"/>
  </cols>
  <sheetData>
    <row r="1" spans="1:28" ht="13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28" ht="13.5" customHeight="1" x14ac:dyDescent="0.25">
      <c r="A2" s="1" t="s">
        <v>11</v>
      </c>
      <c r="B2" s="5">
        <v>3.82</v>
      </c>
      <c r="C2" s="5">
        <v>7.34</v>
      </c>
      <c r="D2" s="5">
        <v>3.85</v>
      </c>
      <c r="E2" s="5">
        <v>8.35</v>
      </c>
      <c r="F2" s="5">
        <v>4.42</v>
      </c>
      <c r="G2" s="5">
        <v>4.3</v>
      </c>
      <c r="H2" s="5">
        <v>6.27</v>
      </c>
      <c r="I2" s="5">
        <v>6.19</v>
      </c>
      <c r="J2" s="5">
        <v>5.57</v>
      </c>
      <c r="K2" s="5">
        <v>6.64</v>
      </c>
      <c r="L2" s="7">
        <f>AVERAGE(B2:K2)</f>
        <v>5.6749999999999989</v>
      </c>
      <c r="O2" s="5">
        <f>_xlfn.VAR.S(B2:K2)</f>
        <v>2.4140722222222357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3.5" customHeight="1" x14ac:dyDescent="0.25">
      <c r="A3" s="1" t="s">
        <v>12</v>
      </c>
      <c r="B3" s="5">
        <v>4.1900000000000004</v>
      </c>
      <c r="C3" s="5">
        <v>7.86</v>
      </c>
      <c r="D3" s="5">
        <v>2.91</v>
      </c>
      <c r="E3" s="5">
        <v>8.68</v>
      </c>
      <c r="F3" s="5">
        <v>3.03</v>
      </c>
      <c r="G3" s="5">
        <v>3.89</v>
      </c>
      <c r="H3" s="5">
        <v>4.8899999999999997</v>
      </c>
      <c r="I3" s="5">
        <v>4.4000000000000004</v>
      </c>
      <c r="J3" s="5">
        <v>5.74</v>
      </c>
      <c r="K3" s="5">
        <v>6.41</v>
      </c>
      <c r="L3" s="7">
        <f t="shared" ref="L3:L13" si="0">AVERAGE(B3:K3)</f>
        <v>5.2</v>
      </c>
      <c r="O3" s="5">
        <f t="shared" ref="O3:O13" si="1">_xlfn.VAR.S(B3:K3)</f>
        <v>3.8185555555555641</v>
      </c>
    </row>
    <row r="4" spans="1:28" ht="13.5" customHeight="1" x14ac:dyDescent="0.25">
      <c r="A4" s="1" t="s">
        <v>13</v>
      </c>
      <c r="B4" s="5">
        <v>3.73</v>
      </c>
      <c r="C4" s="5">
        <v>4.9400000000000004</v>
      </c>
      <c r="D4" s="5">
        <v>6</v>
      </c>
      <c r="E4" s="5">
        <v>7.5</v>
      </c>
      <c r="F4" s="5">
        <v>3.78</v>
      </c>
      <c r="G4" s="5">
        <v>3.96</v>
      </c>
      <c r="H4" s="5">
        <v>4.45</v>
      </c>
      <c r="I4" s="5">
        <v>6.46</v>
      </c>
      <c r="J4" s="5">
        <v>5</v>
      </c>
      <c r="K4" s="5">
        <v>7.15</v>
      </c>
      <c r="L4" s="7">
        <f t="shared" si="0"/>
        <v>5.2970000000000006</v>
      </c>
      <c r="N4" s="2" t="s">
        <v>23</v>
      </c>
      <c r="O4" s="5">
        <f t="shared" si="1"/>
        <v>1.9567788888888851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8" ht="13.5" customHeight="1" x14ac:dyDescent="0.25">
      <c r="A5" s="1" t="s">
        <v>14</v>
      </c>
      <c r="B5" s="5">
        <v>4.13</v>
      </c>
      <c r="C5" s="5">
        <v>7.06</v>
      </c>
      <c r="D5" s="5">
        <v>2.89</v>
      </c>
      <c r="E5" s="5">
        <v>8.8800000000000008</v>
      </c>
      <c r="F5" s="5">
        <v>3.81</v>
      </c>
      <c r="G5" s="5">
        <v>5.01</v>
      </c>
      <c r="H5" s="5">
        <v>6.26</v>
      </c>
      <c r="I5" s="5">
        <v>5.77</v>
      </c>
      <c r="J5" s="5">
        <v>6.5</v>
      </c>
      <c r="K5" s="5">
        <v>7.19</v>
      </c>
      <c r="L5" s="7">
        <f t="shared" si="0"/>
        <v>5.75</v>
      </c>
      <c r="O5" s="5">
        <f t="shared" si="1"/>
        <v>3.2805333333333362</v>
      </c>
    </row>
    <row r="6" spans="1:28" ht="13.5" customHeight="1" x14ac:dyDescent="0.25">
      <c r="A6" s="1" t="s">
        <v>15</v>
      </c>
      <c r="B6" s="5">
        <v>3.32</v>
      </c>
      <c r="C6" s="5">
        <v>6.46</v>
      </c>
      <c r="D6" s="5">
        <v>2.5499999999999998</v>
      </c>
      <c r="E6" s="5">
        <v>8.81</v>
      </c>
      <c r="F6" s="5">
        <v>3.19</v>
      </c>
      <c r="G6" s="5">
        <v>4.03</v>
      </c>
      <c r="H6" s="5">
        <v>5.75</v>
      </c>
      <c r="I6" s="5">
        <v>4.75</v>
      </c>
      <c r="J6" s="5">
        <v>6.5</v>
      </c>
      <c r="K6" s="5">
        <v>5.25</v>
      </c>
      <c r="L6" s="7">
        <f t="shared" si="0"/>
        <v>5.0609999999999999</v>
      </c>
      <c r="O6" s="5">
        <f t="shared" si="1"/>
        <v>3.6210988888888918</v>
      </c>
    </row>
    <row r="7" spans="1:28" ht="13.5" customHeight="1" x14ac:dyDescent="0.25">
      <c r="A7" s="1" t="s">
        <v>16</v>
      </c>
      <c r="B7" s="5">
        <v>2.89</v>
      </c>
      <c r="C7" s="5">
        <v>7.47</v>
      </c>
      <c r="D7" s="5">
        <v>4.78</v>
      </c>
      <c r="E7" s="5">
        <v>9.7200000000000006</v>
      </c>
      <c r="F7" s="5">
        <v>4.21</v>
      </c>
      <c r="G7" s="5">
        <v>5.27</v>
      </c>
      <c r="H7" s="5">
        <v>4.28</v>
      </c>
      <c r="I7" s="5">
        <v>6</v>
      </c>
      <c r="J7" s="5">
        <v>7.43</v>
      </c>
      <c r="K7" s="5">
        <v>9.2100000000000009</v>
      </c>
      <c r="L7" s="7">
        <f t="shared" si="0"/>
        <v>6.1260000000000003</v>
      </c>
      <c r="O7" s="5">
        <f t="shared" si="1"/>
        <v>5.116159999999998</v>
      </c>
    </row>
    <row r="8" spans="1:28" ht="13.5" customHeight="1" x14ac:dyDescent="0.25">
      <c r="A8" s="1" t="s">
        <v>17</v>
      </c>
      <c r="B8" s="5">
        <v>4.32</v>
      </c>
      <c r="C8" s="5">
        <v>8.75</v>
      </c>
      <c r="D8" s="5">
        <v>3.68</v>
      </c>
      <c r="E8" s="5">
        <v>10.33</v>
      </c>
      <c r="F8" s="5">
        <v>3.71</v>
      </c>
      <c r="G8" s="5">
        <v>3.92</v>
      </c>
      <c r="H8" s="5">
        <v>7.84</v>
      </c>
      <c r="I8" s="5">
        <v>4.8499999999999996</v>
      </c>
      <c r="J8" s="5">
        <v>6.43</v>
      </c>
      <c r="K8" s="5">
        <v>7.93</v>
      </c>
      <c r="L8" s="7">
        <f t="shared" si="0"/>
        <v>6.1760000000000002</v>
      </c>
      <c r="O8" s="5">
        <f t="shared" si="1"/>
        <v>5.8216488888888875</v>
      </c>
    </row>
    <row r="9" spans="1:28" ht="13.5" customHeight="1" x14ac:dyDescent="0.25">
      <c r="A9" s="1" t="s">
        <v>18</v>
      </c>
      <c r="B9" s="5">
        <v>3.81</v>
      </c>
      <c r="C9" s="5">
        <v>7.34</v>
      </c>
      <c r="D9" s="5">
        <v>5.4</v>
      </c>
      <c r="E9" s="5">
        <v>8.51</v>
      </c>
      <c r="F9" s="5">
        <v>4.22</v>
      </c>
      <c r="G9" s="5">
        <v>4.5199999999999996</v>
      </c>
      <c r="H9" s="5">
        <v>5.29</v>
      </c>
      <c r="I9" s="5">
        <v>6.54</v>
      </c>
      <c r="J9" s="5">
        <v>4.68</v>
      </c>
      <c r="K9" s="5">
        <v>7.17</v>
      </c>
      <c r="L9" s="7">
        <f t="shared" si="0"/>
        <v>5.7479999999999993</v>
      </c>
      <c r="O9" s="5">
        <f t="shared" si="1"/>
        <v>2.4313955555555569</v>
      </c>
    </row>
    <row r="10" spans="1:28" ht="13.5" customHeight="1" x14ac:dyDescent="0.25">
      <c r="A10" s="1" t="s">
        <v>19</v>
      </c>
      <c r="B10" s="5">
        <v>4.8600000000000003</v>
      </c>
      <c r="C10" s="5">
        <v>8.6999999999999993</v>
      </c>
      <c r="D10" s="5">
        <v>5.62</v>
      </c>
      <c r="E10" s="5">
        <v>10.220000000000001</v>
      </c>
      <c r="F10" s="5">
        <v>5.21</v>
      </c>
      <c r="G10" s="5">
        <v>5.0599999999999996</v>
      </c>
      <c r="H10" s="5">
        <v>6.28</v>
      </c>
      <c r="I10" s="5">
        <v>5.37</v>
      </c>
      <c r="J10" s="5">
        <v>6.34</v>
      </c>
      <c r="K10" s="5">
        <v>8.34</v>
      </c>
      <c r="L10" s="7">
        <f t="shared" si="0"/>
        <v>6.6</v>
      </c>
      <c r="O10" s="5">
        <f t="shared" si="1"/>
        <v>3.3907333333333249</v>
      </c>
    </row>
    <row r="11" spans="1:28" ht="13.5" customHeight="1" x14ac:dyDescent="0.25">
      <c r="A11" s="1" t="s">
        <v>20</v>
      </c>
      <c r="B11" s="5">
        <v>3.04</v>
      </c>
      <c r="C11" s="5">
        <v>5.29</v>
      </c>
      <c r="D11" s="5">
        <v>5.56</v>
      </c>
      <c r="E11" s="5">
        <v>9.08</v>
      </c>
      <c r="F11" s="5">
        <v>4.53</v>
      </c>
      <c r="G11" s="5">
        <v>4.0999999999999996</v>
      </c>
      <c r="H11" s="5">
        <v>7</v>
      </c>
      <c r="I11" s="5">
        <v>5.0999999999999996</v>
      </c>
      <c r="J11" s="5">
        <v>6.02</v>
      </c>
      <c r="K11" s="5">
        <v>6.7</v>
      </c>
      <c r="L11" s="7">
        <f t="shared" si="0"/>
        <v>5.6420000000000003</v>
      </c>
      <c r="O11" s="5">
        <f t="shared" si="1"/>
        <v>2.8594844444444458</v>
      </c>
    </row>
    <row r="12" spans="1:28" ht="13.5" customHeight="1" x14ac:dyDescent="0.25">
      <c r="A12" s="1" t="s">
        <v>21</v>
      </c>
      <c r="B12" s="5">
        <v>4.5</v>
      </c>
      <c r="C12" s="5">
        <v>9.51</v>
      </c>
      <c r="D12" s="5">
        <v>3</v>
      </c>
      <c r="E12" s="5">
        <v>10.54</v>
      </c>
      <c r="F12" s="5">
        <v>4.09</v>
      </c>
      <c r="G12" s="5">
        <v>5.62</v>
      </c>
      <c r="H12" s="5">
        <v>7.84</v>
      </c>
      <c r="I12" s="5">
        <v>5.53</v>
      </c>
      <c r="J12" s="5">
        <v>6.55</v>
      </c>
      <c r="K12" s="5">
        <v>8.1199999999999992</v>
      </c>
      <c r="L12" s="7">
        <f t="shared" si="0"/>
        <v>6.5299999999999994</v>
      </c>
      <c r="O12" s="5">
        <f t="shared" si="1"/>
        <v>5.9520666666666671</v>
      </c>
    </row>
    <row r="13" spans="1:28" ht="13.5" customHeight="1" x14ac:dyDescent="0.25">
      <c r="A13" s="4" t="s">
        <v>22</v>
      </c>
      <c r="B13" s="6">
        <v>4.62</v>
      </c>
      <c r="C13" s="6">
        <v>8.57</v>
      </c>
      <c r="D13" s="6">
        <v>4.88</v>
      </c>
      <c r="E13" s="6">
        <v>8.9600000000000009</v>
      </c>
      <c r="F13" s="6">
        <v>4.33</v>
      </c>
      <c r="G13" s="6">
        <v>4.83</v>
      </c>
      <c r="H13" s="6">
        <v>5.98</v>
      </c>
      <c r="I13" s="6">
        <v>5.09</v>
      </c>
      <c r="J13" s="6">
        <v>7.38</v>
      </c>
      <c r="K13" s="6">
        <v>7.96</v>
      </c>
      <c r="L13" s="7">
        <f t="shared" si="0"/>
        <v>6.2600000000000007</v>
      </c>
      <c r="O13" s="5">
        <f t="shared" si="1"/>
        <v>3.1757333333333313</v>
      </c>
    </row>
    <row r="14" spans="1:28" ht="13.5" customHeight="1" x14ac:dyDescent="0.25">
      <c r="B14" s="7">
        <f>AVERAGE(B2:B13)</f>
        <v>3.9358333333333331</v>
      </c>
      <c r="C14" s="7">
        <f t="shared" ref="C14:K14" si="2">AVERAGE(C2:C13)</f>
        <v>7.4408333333333347</v>
      </c>
      <c r="D14" s="7">
        <f t="shared" si="2"/>
        <v>4.2600000000000007</v>
      </c>
      <c r="E14" s="7">
        <f t="shared" si="2"/>
        <v>9.1316666666666677</v>
      </c>
      <c r="F14" s="7">
        <f t="shared" si="2"/>
        <v>4.0441666666666665</v>
      </c>
      <c r="G14" s="7">
        <f t="shared" si="2"/>
        <v>4.5424999999999995</v>
      </c>
      <c r="H14" s="7">
        <f t="shared" si="2"/>
        <v>6.0108333333333333</v>
      </c>
      <c r="I14" s="7">
        <f t="shared" si="2"/>
        <v>5.5041666666666664</v>
      </c>
      <c r="J14" s="7">
        <f t="shared" si="2"/>
        <v>6.1783333333333319</v>
      </c>
      <c r="K14" s="7">
        <f t="shared" si="2"/>
        <v>7.3391666666666673</v>
      </c>
      <c r="L14" s="7">
        <f>AVERAGE(B2:K13)</f>
        <v>5.838750000000001</v>
      </c>
    </row>
    <row r="15" spans="1:28" ht="13.5" customHeight="1" x14ac:dyDescent="0.25">
      <c r="L15" s="5"/>
    </row>
    <row r="16" spans="1:28" ht="13.5" customHeight="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4" ht="13.5" customHeight="1" x14ac:dyDescent="0.25">
      <c r="A17" s="1" t="s">
        <v>11</v>
      </c>
      <c r="B17" s="5">
        <f>B2-B$14</f>
        <v>-0.11583333333333323</v>
      </c>
      <c r="C17" s="5">
        <f t="shared" ref="C17:K17" si="3">C2-C$14</f>
        <v>-0.10083333333333488</v>
      </c>
      <c r="D17" s="5">
        <f t="shared" si="3"/>
        <v>-0.41000000000000059</v>
      </c>
      <c r="E17" s="5">
        <f t="shared" si="3"/>
        <v>-0.78166666666666806</v>
      </c>
      <c r="F17" s="5">
        <f t="shared" si="3"/>
        <v>0.37583333333333346</v>
      </c>
      <c r="G17" s="5">
        <f t="shared" si="3"/>
        <v>-0.24249999999999972</v>
      </c>
      <c r="H17" s="5">
        <f t="shared" si="3"/>
        <v>0.25916666666666632</v>
      </c>
      <c r="I17" s="5">
        <f t="shared" si="3"/>
        <v>0.68583333333333396</v>
      </c>
      <c r="J17" s="5">
        <f t="shared" si="3"/>
        <v>-0.60833333333333162</v>
      </c>
      <c r="K17" s="5">
        <f t="shared" si="3"/>
        <v>-0.6991666666666676</v>
      </c>
      <c r="L17" s="7">
        <f>AVERAGE(B17:K17)</f>
        <v>-0.1637500000000002</v>
      </c>
      <c r="M17" s="5">
        <f>L17+$L$14</f>
        <v>5.6750000000000007</v>
      </c>
    </row>
    <row r="18" spans="1:14" ht="13.5" customHeight="1" x14ac:dyDescent="0.25">
      <c r="A18" s="1" t="s">
        <v>12</v>
      </c>
      <c r="B18" s="5">
        <f t="shared" ref="B18:K28" si="4">B3-B$14</f>
        <v>0.25416666666666732</v>
      </c>
      <c r="C18" s="5">
        <f t="shared" si="4"/>
        <v>0.41916666666666558</v>
      </c>
      <c r="D18" s="5">
        <f t="shared" si="4"/>
        <v>-1.3500000000000005</v>
      </c>
      <c r="E18" s="5">
        <f t="shared" si="4"/>
        <v>-0.45166666666666799</v>
      </c>
      <c r="F18" s="5">
        <f t="shared" si="4"/>
        <v>-1.0141666666666667</v>
      </c>
      <c r="G18" s="5">
        <f t="shared" si="4"/>
        <v>-0.65249999999999941</v>
      </c>
      <c r="H18" s="5">
        <f t="shared" si="4"/>
        <v>-1.1208333333333336</v>
      </c>
      <c r="I18" s="5">
        <f t="shared" si="4"/>
        <v>-1.1041666666666661</v>
      </c>
      <c r="J18" s="5">
        <f t="shared" si="4"/>
        <v>-0.43833333333333169</v>
      </c>
      <c r="K18" s="5">
        <f t="shared" si="4"/>
        <v>-0.92916666666666714</v>
      </c>
      <c r="L18" s="7">
        <f t="shared" ref="L18:L28" si="5">AVERAGE(B18:K18)</f>
        <v>-0.63875000000000004</v>
      </c>
      <c r="M18" s="5">
        <f t="shared" ref="M18:M29" si="6">L18+$L$14</f>
        <v>5.2000000000000011</v>
      </c>
    </row>
    <row r="19" spans="1:14" ht="13.5" customHeight="1" x14ac:dyDescent="0.25">
      <c r="A19" s="1" t="s">
        <v>13</v>
      </c>
      <c r="B19" s="5">
        <f t="shared" si="4"/>
        <v>-0.20583333333333309</v>
      </c>
      <c r="C19" s="5">
        <f t="shared" si="4"/>
        <v>-2.5008333333333344</v>
      </c>
      <c r="D19" s="5">
        <f t="shared" si="4"/>
        <v>1.7399999999999993</v>
      </c>
      <c r="E19" s="5">
        <f t="shared" si="4"/>
        <v>-1.6316666666666677</v>
      </c>
      <c r="F19" s="5">
        <f t="shared" si="4"/>
        <v>-0.26416666666666666</v>
      </c>
      <c r="G19" s="5">
        <f t="shared" si="4"/>
        <v>-0.58249999999999957</v>
      </c>
      <c r="H19" s="5">
        <f t="shared" si="4"/>
        <v>-1.5608333333333331</v>
      </c>
      <c r="I19" s="5">
        <f t="shared" si="4"/>
        <v>0.95583333333333353</v>
      </c>
      <c r="J19" s="5">
        <f t="shared" si="4"/>
        <v>-1.1783333333333319</v>
      </c>
      <c r="K19" s="5">
        <f t="shared" si="4"/>
        <v>-0.18916666666666693</v>
      </c>
      <c r="L19" s="7">
        <f t="shared" si="5"/>
        <v>-0.54175000000000006</v>
      </c>
      <c r="M19" s="5">
        <f t="shared" si="6"/>
        <v>5.2970000000000006</v>
      </c>
      <c r="N19" s="2" t="s">
        <v>24</v>
      </c>
    </row>
    <row r="20" spans="1:14" ht="13.5" customHeight="1" x14ac:dyDescent="0.25">
      <c r="A20" s="1" t="s">
        <v>14</v>
      </c>
      <c r="B20" s="5">
        <f t="shared" si="4"/>
        <v>0.19416666666666682</v>
      </c>
      <c r="C20" s="5">
        <f t="shared" si="4"/>
        <v>-0.38083333333333513</v>
      </c>
      <c r="D20" s="5">
        <f t="shared" si="4"/>
        <v>-1.3700000000000006</v>
      </c>
      <c r="E20" s="5">
        <f t="shared" si="4"/>
        <v>-0.25166666666666693</v>
      </c>
      <c r="F20" s="5">
        <f t="shared" si="4"/>
        <v>-0.23416666666666641</v>
      </c>
      <c r="G20" s="5">
        <f t="shared" si="4"/>
        <v>0.46750000000000025</v>
      </c>
      <c r="H20" s="5">
        <f t="shared" si="4"/>
        <v>0.24916666666666654</v>
      </c>
      <c r="I20" s="5">
        <f t="shared" si="4"/>
        <v>0.26583333333333314</v>
      </c>
      <c r="J20" s="5">
        <f t="shared" si="4"/>
        <v>0.3216666666666681</v>
      </c>
      <c r="K20" s="5">
        <f t="shared" si="4"/>
        <v>-0.14916666666666689</v>
      </c>
      <c r="L20" s="7">
        <f t="shared" si="5"/>
        <v>-8.8750000000000107E-2</v>
      </c>
      <c r="M20" s="5">
        <f t="shared" si="6"/>
        <v>5.7500000000000009</v>
      </c>
    </row>
    <row r="21" spans="1:14" ht="13.5" customHeight="1" x14ac:dyDescent="0.25">
      <c r="A21" s="1" t="s">
        <v>15</v>
      </c>
      <c r="B21" s="5">
        <f t="shared" si="4"/>
        <v>-0.61583333333333323</v>
      </c>
      <c r="C21" s="5">
        <f t="shared" si="4"/>
        <v>-0.98083333333333478</v>
      </c>
      <c r="D21" s="5">
        <f t="shared" si="4"/>
        <v>-1.7100000000000009</v>
      </c>
      <c r="E21" s="5">
        <f t="shared" si="4"/>
        <v>-0.32166666666666721</v>
      </c>
      <c r="F21" s="5">
        <f t="shared" si="4"/>
        <v>-0.85416666666666652</v>
      </c>
      <c r="G21" s="5">
        <f t="shared" si="4"/>
        <v>-0.51249999999999929</v>
      </c>
      <c r="H21" s="5">
        <f t="shared" si="4"/>
        <v>-0.26083333333333325</v>
      </c>
      <c r="I21" s="5">
        <f t="shared" si="4"/>
        <v>-0.75416666666666643</v>
      </c>
      <c r="J21" s="5">
        <f t="shared" si="4"/>
        <v>0.3216666666666681</v>
      </c>
      <c r="K21" s="5">
        <f t="shared" si="4"/>
        <v>-2.0891666666666673</v>
      </c>
      <c r="L21" s="7">
        <f t="shared" si="5"/>
        <v>-0.77775000000000005</v>
      </c>
      <c r="M21" s="5">
        <f t="shared" si="6"/>
        <v>5.0610000000000008</v>
      </c>
    </row>
    <row r="22" spans="1:14" ht="13.5" customHeight="1" x14ac:dyDescent="0.25">
      <c r="A22" s="1" t="s">
        <v>16</v>
      </c>
      <c r="B22" s="5">
        <f t="shared" si="4"/>
        <v>-1.0458333333333329</v>
      </c>
      <c r="C22" s="5">
        <f t="shared" si="4"/>
        <v>2.9166666666665009E-2</v>
      </c>
      <c r="D22" s="5">
        <f t="shared" si="4"/>
        <v>0.51999999999999957</v>
      </c>
      <c r="E22" s="5">
        <f t="shared" si="4"/>
        <v>0.58833333333333293</v>
      </c>
      <c r="F22" s="5">
        <f t="shared" si="4"/>
        <v>0.1658333333333335</v>
      </c>
      <c r="G22" s="5">
        <f t="shared" si="4"/>
        <v>0.72750000000000004</v>
      </c>
      <c r="H22" s="5">
        <f t="shared" si="4"/>
        <v>-1.730833333333333</v>
      </c>
      <c r="I22" s="5">
        <f t="shared" si="4"/>
        <v>0.49583333333333357</v>
      </c>
      <c r="J22" s="5">
        <f t="shared" si="4"/>
        <v>1.2516666666666678</v>
      </c>
      <c r="K22" s="5">
        <f t="shared" si="4"/>
        <v>1.8708333333333336</v>
      </c>
      <c r="L22" s="7">
        <f t="shared" si="5"/>
        <v>0.28725000000000001</v>
      </c>
      <c r="M22" s="5">
        <f t="shared" si="6"/>
        <v>6.1260000000000012</v>
      </c>
    </row>
    <row r="23" spans="1:14" ht="13.5" customHeight="1" x14ac:dyDescent="0.25">
      <c r="A23" s="1" t="s">
        <v>17</v>
      </c>
      <c r="B23" s="5">
        <f t="shared" si="4"/>
        <v>0.38416666666666721</v>
      </c>
      <c r="C23" s="5">
        <f t="shared" si="4"/>
        <v>1.3091666666666653</v>
      </c>
      <c r="D23" s="5">
        <f t="shared" si="4"/>
        <v>-0.58000000000000052</v>
      </c>
      <c r="E23" s="5">
        <f t="shared" si="4"/>
        <v>1.1983333333333324</v>
      </c>
      <c r="F23" s="5">
        <f t="shared" si="4"/>
        <v>-0.3341666666666665</v>
      </c>
      <c r="G23" s="5">
        <f t="shared" si="4"/>
        <v>-0.62249999999999961</v>
      </c>
      <c r="H23" s="5">
        <f t="shared" si="4"/>
        <v>1.8291666666666666</v>
      </c>
      <c r="I23" s="5">
        <f t="shared" si="4"/>
        <v>-0.65416666666666679</v>
      </c>
      <c r="J23" s="5">
        <f t="shared" si="4"/>
        <v>0.25166666666666782</v>
      </c>
      <c r="K23" s="5">
        <f t="shared" si="4"/>
        <v>0.59083333333333243</v>
      </c>
      <c r="L23" s="7">
        <f t="shared" si="5"/>
        <v>0.33724999999999983</v>
      </c>
      <c r="M23" s="5">
        <f t="shared" si="6"/>
        <v>6.176000000000001</v>
      </c>
    </row>
    <row r="24" spans="1:14" ht="13.5" customHeight="1" x14ac:dyDescent="0.25">
      <c r="A24" s="1" t="s">
        <v>18</v>
      </c>
      <c r="B24" s="5">
        <f t="shared" si="4"/>
        <v>-0.12583333333333302</v>
      </c>
      <c r="C24" s="5">
        <f t="shared" si="4"/>
        <v>-0.10083333333333488</v>
      </c>
      <c r="D24" s="5">
        <f t="shared" si="4"/>
        <v>1.1399999999999997</v>
      </c>
      <c r="E24" s="5">
        <f t="shared" si="4"/>
        <v>-0.62166666666666792</v>
      </c>
      <c r="F24" s="5">
        <f t="shared" si="4"/>
        <v>0.17583333333333329</v>
      </c>
      <c r="G24" s="5">
        <f t="shared" si="4"/>
        <v>-2.2499999999999964E-2</v>
      </c>
      <c r="H24" s="5">
        <f t="shared" si="4"/>
        <v>-0.72083333333333321</v>
      </c>
      <c r="I24" s="5">
        <f t="shared" si="4"/>
        <v>1.0358333333333336</v>
      </c>
      <c r="J24" s="5">
        <f t="shared" si="4"/>
        <v>-1.4983333333333322</v>
      </c>
      <c r="K24" s="5">
        <f t="shared" si="4"/>
        <v>-0.16916666666666735</v>
      </c>
      <c r="L24" s="7">
        <f t="shared" si="5"/>
        <v>-9.0750000000000192E-2</v>
      </c>
      <c r="M24" s="5">
        <f t="shared" si="6"/>
        <v>5.7480000000000011</v>
      </c>
    </row>
    <row r="25" spans="1:14" ht="13.5" customHeight="1" x14ac:dyDescent="0.25">
      <c r="A25" s="1" t="s">
        <v>19</v>
      </c>
      <c r="B25" s="5">
        <f t="shared" si="4"/>
        <v>0.92416666666666725</v>
      </c>
      <c r="C25" s="5">
        <f t="shared" si="4"/>
        <v>1.2591666666666645</v>
      </c>
      <c r="D25" s="5">
        <f t="shared" si="4"/>
        <v>1.3599999999999994</v>
      </c>
      <c r="E25" s="5">
        <f t="shared" si="4"/>
        <v>1.0883333333333329</v>
      </c>
      <c r="F25" s="5">
        <f t="shared" si="4"/>
        <v>1.1658333333333335</v>
      </c>
      <c r="G25" s="5">
        <f t="shared" si="4"/>
        <v>0.51750000000000007</v>
      </c>
      <c r="H25" s="5">
        <f t="shared" si="4"/>
        <v>0.269166666666667</v>
      </c>
      <c r="I25" s="5">
        <f t="shared" si="4"/>
        <v>-0.13416666666666632</v>
      </c>
      <c r="J25" s="5">
        <f t="shared" si="4"/>
        <v>0.16166666666666796</v>
      </c>
      <c r="K25" s="5">
        <f t="shared" si="4"/>
        <v>1.0008333333333326</v>
      </c>
      <c r="L25" s="7">
        <f t="shared" si="5"/>
        <v>0.76124999999999987</v>
      </c>
      <c r="M25" s="5">
        <f t="shared" si="6"/>
        <v>6.6000000000000005</v>
      </c>
    </row>
    <row r="26" spans="1:14" ht="13.5" customHeight="1" x14ac:dyDescent="0.25">
      <c r="A26" s="1" t="s">
        <v>20</v>
      </c>
      <c r="B26" s="5">
        <f t="shared" si="4"/>
        <v>-0.89583333333333304</v>
      </c>
      <c r="C26" s="5">
        <f t="shared" si="4"/>
        <v>-2.1508333333333347</v>
      </c>
      <c r="D26" s="5">
        <f t="shared" si="4"/>
        <v>1.2999999999999989</v>
      </c>
      <c r="E26" s="5">
        <f t="shared" si="4"/>
        <v>-5.1666666666667638E-2</v>
      </c>
      <c r="F26" s="5">
        <f t="shared" si="4"/>
        <v>0.48583333333333378</v>
      </c>
      <c r="G26" s="5">
        <f t="shared" si="4"/>
        <v>-0.44249999999999989</v>
      </c>
      <c r="H26" s="5">
        <f t="shared" si="4"/>
        <v>0.98916666666666675</v>
      </c>
      <c r="I26" s="5">
        <f t="shared" si="4"/>
        <v>-0.40416666666666679</v>
      </c>
      <c r="J26" s="5">
        <f t="shared" si="4"/>
        <v>-0.15833333333333233</v>
      </c>
      <c r="K26" s="5">
        <f t="shared" si="4"/>
        <v>-0.6391666666666671</v>
      </c>
      <c r="L26" s="7">
        <f t="shared" si="5"/>
        <v>-0.1967500000000002</v>
      </c>
      <c r="M26" s="5">
        <f t="shared" si="6"/>
        <v>5.6420000000000012</v>
      </c>
    </row>
    <row r="27" spans="1:14" ht="13.5" customHeight="1" x14ac:dyDescent="0.25">
      <c r="A27" s="8" t="s">
        <v>21</v>
      </c>
      <c r="B27" s="9">
        <f t="shared" si="4"/>
        <v>0.56416666666666693</v>
      </c>
      <c r="C27" s="9">
        <f t="shared" si="4"/>
        <v>2.069166666666665</v>
      </c>
      <c r="D27" s="9">
        <f t="shared" si="4"/>
        <v>-1.2600000000000007</v>
      </c>
      <c r="E27" s="9">
        <f t="shared" si="4"/>
        <v>1.4083333333333314</v>
      </c>
      <c r="F27" s="9">
        <f t="shared" si="4"/>
        <v>4.5833333333333393E-2</v>
      </c>
      <c r="G27" s="9">
        <f t="shared" si="4"/>
        <v>1.0775000000000006</v>
      </c>
      <c r="H27" s="9">
        <f t="shared" si="4"/>
        <v>1.8291666666666666</v>
      </c>
      <c r="I27" s="9">
        <f t="shared" si="4"/>
        <v>2.5833333333333819E-2</v>
      </c>
      <c r="J27" s="9">
        <f t="shared" si="4"/>
        <v>0.37166666666666792</v>
      </c>
      <c r="K27" s="9">
        <f t="shared" si="4"/>
        <v>0.78083333333333194</v>
      </c>
      <c r="L27" s="7">
        <f t="shared" si="5"/>
        <v>0.6912499999999997</v>
      </c>
      <c r="M27" s="5">
        <f t="shared" si="6"/>
        <v>6.5300000000000011</v>
      </c>
    </row>
    <row r="28" spans="1:14" ht="13.5" customHeight="1" x14ac:dyDescent="0.25">
      <c r="A28" s="4" t="s">
        <v>22</v>
      </c>
      <c r="B28" s="6">
        <f t="shared" si="4"/>
        <v>0.68416666666666703</v>
      </c>
      <c r="C28" s="6">
        <f t="shared" si="4"/>
        <v>1.1291666666666655</v>
      </c>
      <c r="D28" s="6">
        <f t="shared" si="4"/>
        <v>0.61999999999999922</v>
      </c>
      <c r="E28" s="6">
        <f t="shared" si="4"/>
        <v>-0.17166666666666686</v>
      </c>
      <c r="F28" s="6">
        <f t="shared" si="4"/>
        <v>0.28583333333333361</v>
      </c>
      <c r="G28" s="6">
        <f t="shared" si="4"/>
        <v>0.28750000000000053</v>
      </c>
      <c r="H28" s="6">
        <f t="shared" si="4"/>
        <v>-3.0833333333332824E-2</v>
      </c>
      <c r="I28" s="6">
        <f t="shared" si="4"/>
        <v>-0.41416666666666657</v>
      </c>
      <c r="J28" s="6">
        <f t="shared" si="4"/>
        <v>1.201666666666668</v>
      </c>
      <c r="K28" s="6">
        <f t="shared" si="4"/>
        <v>0.62083333333333268</v>
      </c>
      <c r="L28" s="7">
        <f t="shared" si="5"/>
        <v>0.42125000000000001</v>
      </c>
      <c r="M28" s="5">
        <f t="shared" si="6"/>
        <v>6.2600000000000007</v>
      </c>
    </row>
    <row r="29" spans="1:14" ht="13.5" customHeight="1" x14ac:dyDescent="0.25">
      <c r="B29" s="7">
        <f>AVERAGE(B17:B28)</f>
        <v>3.3306690738754696E-16</v>
      </c>
      <c r="C29" s="7">
        <f t="shared" ref="C29:K29" si="7">AVERAGE(C17:C28)</f>
        <v>-1.4802973661668755E-15</v>
      </c>
      <c r="D29" s="7">
        <f t="shared" si="7"/>
        <v>-6.2912638062092207E-16</v>
      </c>
      <c r="E29" s="7">
        <f t="shared" si="7"/>
        <v>-8.8817841970012523E-16</v>
      </c>
      <c r="F29" s="7">
        <f t="shared" si="7"/>
        <v>1.4802973661668753E-16</v>
      </c>
      <c r="G29" s="7">
        <f t="shared" si="7"/>
        <v>3.3306690738754696E-16</v>
      </c>
      <c r="H29" s="7">
        <f t="shared" si="7"/>
        <v>7.4014868308343765E-17</v>
      </c>
      <c r="I29" s="7">
        <f t="shared" si="7"/>
        <v>2.2204460492503131E-16</v>
      </c>
      <c r="J29" s="7">
        <f t="shared" si="7"/>
        <v>1.3322676295501878E-15</v>
      </c>
      <c r="K29" s="7">
        <f t="shared" si="7"/>
        <v>-5.9211894646675012E-16</v>
      </c>
      <c r="L29" s="7">
        <f>AVERAGE(L17:L28)</f>
        <v>-1.2027416100105862E-16</v>
      </c>
    </row>
    <row r="31" spans="1:14" ht="13.5" customHeight="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4" ht="13.5" customHeight="1" x14ac:dyDescent="0.25">
      <c r="A32" s="1" t="s">
        <v>11</v>
      </c>
      <c r="B32" s="5">
        <f>B2-$L2</f>
        <v>-1.8549999999999991</v>
      </c>
      <c r="C32" s="5">
        <f>C2-$L2</f>
        <v>1.6650000000000009</v>
      </c>
      <c r="D32" s="5">
        <f>D2-$L2</f>
        <v>-1.8249999999999988</v>
      </c>
      <c r="E32" s="5">
        <f>E2-$L2</f>
        <v>2.6750000000000007</v>
      </c>
      <c r="F32" s="5">
        <f>F2-$L2</f>
        <v>-1.254999999999999</v>
      </c>
      <c r="G32" s="5">
        <f>G2-$L2</f>
        <v>-1.3749999999999991</v>
      </c>
      <c r="H32" s="5">
        <f>H2-$L2</f>
        <v>0.59500000000000064</v>
      </c>
      <c r="I32" s="5">
        <f>I2-$L2</f>
        <v>0.51500000000000146</v>
      </c>
      <c r="J32" s="5">
        <f>J2-$L2</f>
        <v>-0.10499999999999865</v>
      </c>
      <c r="K32" s="5">
        <f>K2-$L2</f>
        <v>0.96500000000000075</v>
      </c>
      <c r="L32" s="5">
        <f>AVERAGE(B32:K32)</f>
        <v>9.7699626167013783E-16</v>
      </c>
    </row>
    <row r="33" spans="1:15" ht="13.5" customHeight="1" x14ac:dyDescent="0.25">
      <c r="A33" s="1" t="s">
        <v>12</v>
      </c>
      <c r="B33" s="5">
        <f t="shared" ref="B33:K33" si="8">B3-$L3</f>
        <v>-1.0099999999999998</v>
      </c>
      <c r="C33" s="5">
        <f t="shared" si="8"/>
        <v>2.66</v>
      </c>
      <c r="D33" s="5">
        <f t="shared" si="8"/>
        <v>-2.29</v>
      </c>
      <c r="E33" s="5">
        <f t="shared" si="8"/>
        <v>3.4799999999999995</v>
      </c>
      <c r="F33" s="5">
        <f t="shared" si="8"/>
        <v>-2.1700000000000004</v>
      </c>
      <c r="G33" s="5">
        <f t="shared" si="8"/>
        <v>-1.31</v>
      </c>
      <c r="H33" s="5">
        <f t="shared" si="8"/>
        <v>-0.3100000000000005</v>
      </c>
      <c r="I33" s="5">
        <f t="shared" si="8"/>
        <v>-0.79999999999999982</v>
      </c>
      <c r="J33" s="5">
        <f t="shared" si="8"/>
        <v>0.54</v>
      </c>
      <c r="K33" s="5">
        <f t="shared" si="8"/>
        <v>1.21</v>
      </c>
      <c r="L33" s="5">
        <f t="shared" ref="L33:L43" si="9">AVERAGE(B33:K33)</f>
        <v>0</v>
      </c>
    </row>
    <row r="34" spans="1:15" ht="13.5" customHeight="1" x14ac:dyDescent="0.25">
      <c r="A34" s="1" t="s">
        <v>13</v>
      </c>
      <c r="B34" s="5">
        <f t="shared" ref="B34:K34" si="10">B4-$L4</f>
        <v>-1.5670000000000006</v>
      </c>
      <c r="C34" s="5">
        <f t="shared" si="10"/>
        <v>-0.35700000000000021</v>
      </c>
      <c r="D34" s="5">
        <f t="shared" si="10"/>
        <v>0.7029999999999994</v>
      </c>
      <c r="E34" s="5">
        <f t="shared" si="10"/>
        <v>2.2029999999999994</v>
      </c>
      <c r="F34" s="5">
        <f t="shared" si="10"/>
        <v>-1.5170000000000008</v>
      </c>
      <c r="G34" s="5">
        <f t="shared" si="10"/>
        <v>-1.3370000000000006</v>
      </c>
      <c r="H34" s="5">
        <f t="shared" si="10"/>
        <v>-0.84700000000000042</v>
      </c>
      <c r="I34" s="5">
        <f t="shared" si="10"/>
        <v>1.1629999999999994</v>
      </c>
      <c r="J34" s="5">
        <f t="shared" si="10"/>
        <v>-0.2970000000000006</v>
      </c>
      <c r="K34" s="5">
        <f t="shared" si="10"/>
        <v>1.8529999999999998</v>
      </c>
      <c r="L34" s="5">
        <f t="shared" si="9"/>
        <v>-5.3290705182007512E-16</v>
      </c>
      <c r="N34" s="2" t="s">
        <v>25</v>
      </c>
      <c r="O34" s="10" t="s">
        <v>26</v>
      </c>
    </row>
    <row r="35" spans="1:15" ht="13.5" customHeight="1" x14ac:dyDescent="0.25">
      <c r="A35" s="1" t="s">
        <v>14</v>
      </c>
      <c r="B35" s="5">
        <f t="shared" ref="B35:K35" si="11">B5-$L5</f>
        <v>-1.62</v>
      </c>
      <c r="C35" s="5">
        <f t="shared" si="11"/>
        <v>1.3099999999999996</v>
      </c>
      <c r="D35" s="5">
        <f t="shared" si="11"/>
        <v>-2.86</v>
      </c>
      <c r="E35" s="5">
        <f t="shared" si="11"/>
        <v>3.1300000000000008</v>
      </c>
      <c r="F35" s="5">
        <f t="shared" si="11"/>
        <v>-1.94</v>
      </c>
      <c r="G35" s="5">
        <f t="shared" si="11"/>
        <v>-0.74000000000000021</v>
      </c>
      <c r="H35" s="5">
        <f t="shared" si="11"/>
        <v>0.50999999999999979</v>
      </c>
      <c r="I35" s="5">
        <f t="shared" si="11"/>
        <v>1.9999999999999574E-2</v>
      </c>
      <c r="J35" s="5">
        <f t="shared" si="11"/>
        <v>0.75</v>
      </c>
      <c r="K35" s="5">
        <f t="shared" si="11"/>
        <v>1.4400000000000004</v>
      </c>
      <c r="L35" s="5">
        <f t="shared" si="9"/>
        <v>0</v>
      </c>
      <c r="O35" s="10" t="s">
        <v>28</v>
      </c>
    </row>
    <row r="36" spans="1:15" ht="13.5" customHeight="1" x14ac:dyDescent="0.25">
      <c r="A36" s="1" t="s">
        <v>15</v>
      </c>
      <c r="B36" s="5">
        <f t="shared" ref="B36:K36" si="12">B6-$L6</f>
        <v>-1.7410000000000001</v>
      </c>
      <c r="C36" s="5">
        <f t="shared" si="12"/>
        <v>1.399</v>
      </c>
      <c r="D36" s="5">
        <f t="shared" si="12"/>
        <v>-2.5110000000000001</v>
      </c>
      <c r="E36" s="5">
        <f t="shared" si="12"/>
        <v>3.7490000000000006</v>
      </c>
      <c r="F36" s="5">
        <f t="shared" si="12"/>
        <v>-1.871</v>
      </c>
      <c r="G36" s="5">
        <f t="shared" si="12"/>
        <v>-1.0309999999999997</v>
      </c>
      <c r="H36" s="5">
        <f t="shared" si="12"/>
        <v>0.68900000000000006</v>
      </c>
      <c r="I36" s="5">
        <f t="shared" si="12"/>
        <v>-0.31099999999999994</v>
      </c>
      <c r="J36" s="5">
        <f t="shared" si="12"/>
        <v>1.4390000000000001</v>
      </c>
      <c r="K36" s="5">
        <f t="shared" si="12"/>
        <v>0.18900000000000006</v>
      </c>
      <c r="L36" s="5">
        <f t="shared" si="9"/>
        <v>8.8817841970012528E-17</v>
      </c>
      <c r="O36" s="10" t="s">
        <v>29</v>
      </c>
    </row>
    <row r="37" spans="1:15" ht="13.5" customHeight="1" x14ac:dyDescent="0.25">
      <c r="A37" s="1" t="s">
        <v>16</v>
      </c>
      <c r="B37" s="5">
        <f t="shared" ref="B37:K37" si="13">B7-$L7</f>
        <v>-3.2360000000000002</v>
      </c>
      <c r="C37" s="5">
        <f t="shared" si="13"/>
        <v>1.3439999999999994</v>
      </c>
      <c r="D37" s="5">
        <f t="shared" si="13"/>
        <v>-1.3460000000000001</v>
      </c>
      <c r="E37" s="5">
        <f t="shared" si="13"/>
        <v>3.5940000000000003</v>
      </c>
      <c r="F37" s="5">
        <f t="shared" si="13"/>
        <v>-1.9160000000000004</v>
      </c>
      <c r="G37" s="5">
        <f t="shared" si="13"/>
        <v>-0.85600000000000076</v>
      </c>
      <c r="H37" s="5">
        <f t="shared" si="13"/>
        <v>-1.8460000000000001</v>
      </c>
      <c r="I37" s="5">
        <f t="shared" si="13"/>
        <v>-0.12600000000000033</v>
      </c>
      <c r="J37" s="5">
        <f t="shared" si="13"/>
        <v>1.3039999999999994</v>
      </c>
      <c r="K37" s="5">
        <f t="shared" si="13"/>
        <v>3.0840000000000005</v>
      </c>
      <c r="L37" s="5">
        <f t="shared" si="9"/>
        <v>0</v>
      </c>
    </row>
    <row r="38" spans="1:15" ht="13.5" customHeight="1" x14ac:dyDescent="0.25">
      <c r="A38" s="1" t="s">
        <v>17</v>
      </c>
      <c r="B38" s="5">
        <f t="shared" ref="B38:K38" si="14">B8-$L8</f>
        <v>-1.8559999999999999</v>
      </c>
      <c r="C38" s="5">
        <f t="shared" si="14"/>
        <v>2.5739999999999998</v>
      </c>
      <c r="D38" s="5">
        <f t="shared" si="14"/>
        <v>-2.496</v>
      </c>
      <c r="E38" s="5">
        <f t="shared" si="14"/>
        <v>4.1539999999999999</v>
      </c>
      <c r="F38" s="5">
        <f t="shared" si="14"/>
        <v>-2.4660000000000002</v>
      </c>
      <c r="G38" s="5">
        <f t="shared" si="14"/>
        <v>-2.2560000000000002</v>
      </c>
      <c r="H38" s="5">
        <f t="shared" si="14"/>
        <v>1.6639999999999997</v>
      </c>
      <c r="I38" s="5">
        <f t="shared" si="14"/>
        <v>-1.3260000000000005</v>
      </c>
      <c r="J38" s="5">
        <f t="shared" si="14"/>
        <v>0.25399999999999956</v>
      </c>
      <c r="K38" s="5">
        <f t="shared" si="14"/>
        <v>1.7539999999999996</v>
      </c>
      <c r="L38" s="5">
        <f t="shared" si="9"/>
        <v>-2.2204460492503131E-16</v>
      </c>
    </row>
    <row r="39" spans="1:15" ht="13.5" customHeight="1" x14ac:dyDescent="0.25">
      <c r="A39" s="1" t="s">
        <v>18</v>
      </c>
      <c r="B39" s="5">
        <f t="shared" ref="B39:K39" si="15">B9-$L9</f>
        <v>-1.9379999999999993</v>
      </c>
      <c r="C39" s="5">
        <f t="shared" si="15"/>
        <v>1.5920000000000005</v>
      </c>
      <c r="D39" s="5">
        <f t="shared" si="15"/>
        <v>-0.34799999999999898</v>
      </c>
      <c r="E39" s="5">
        <f t="shared" si="15"/>
        <v>2.7620000000000005</v>
      </c>
      <c r="F39" s="5">
        <f t="shared" si="15"/>
        <v>-1.5279999999999996</v>
      </c>
      <c r="G39" s="5">
        <f t="shared" si="15"/>
        <v>-1.2279999999999998</v>
      </c>
      <c r="H39" s="5">
        <f t="shared" si="15"/>
        <v>-0.4579999999999993</v>
      </c>
      <c r="I39" s="5">
        <f t="shared" si="15"/>
        <v>0.7920000000000007</v>
      </c>
      <c r="J39" s="5">
        <f t="shared" si="15"/>
        <v>-1.0679999999999996</v>
      </c>
      <c r="K39" s="5">
        <f t="shared" si="15"/>
        <v>1.4220000000000006</v>
      </c>
      <c r="L39" s="5">
        <f t="shared" si="9"/>
        <v>5.7731597280508142E-16</v>
      </c>
    </row>
    <row r="40" spans="1:15" ht="13.5" customHeight="1" x14ac:dyDescent="0.25">
      <c r="A40" s="1" t="s">
        <v>19</v>
      </c>
      <c r="B40" s="5">
        <f t="shared" ref="B40:K40" si="16">B10-$L10</f>
        <v>-1.7399999999999993</v>
      </c>
      <c r="C40" s="5">
        <f t="shared" si="16"/>
        <v>2.0999999999999996</v>
      </c>
      <c r="D40" s="5">
        <f t="shared" si="16"/>
        <v>-0.97999999999999954</v>
      </c>
      <c r="E40" s="5">
        <f t="shared" si="16"/>
        <v>3.620000000000001</v>
      </c>
      <c r="F40" s="5">
        <f t="shared" si="16"/>
        <v>-1.3899999999999997</v>
      </c>
      <c r="G40" s="5">
        <f t="shared" si="16"/>
        <v>-1.54</v>
      </c>
      <c r="H40" s="5">
        <f t="shared" si="16"/>
        <v>-0.3199999999999994</v>
      </c>
      <c r="I40" s="5">
        <f t="shared" si="16"/>
        <v>-1.2299999999999995</v>
      </c>
      <c r="J40" s="5">
        <f t="shared" si="16"/>
        <v>-0.25999999999999979</v>
      </c>
      <c r="K40" s="5">
        <f t="shared" si="16"/>
        <v>1.7400000000000002</v>
      </c>
      <c r="L40" s="5">
        <f t="shared" si="9"/>
        <v>3.5527136788005011E-16</v>
      </c>
    </row>
    <row r="41" spans="1:15" ht="13.5" customHeight="1" x14ac:dyDescent="0.25">
      <c r="A41" s="1" t="s">
        <v>20</v>
      </c>
      <c r="B41" s="5">
        <f t="shared" ref="B41:K41" si="17">B11-$L11</f>
        <v>-2.6020000000000003</v>
      </c>
      <c r="C41" s="5">
        <f t="shared" si="17"/>
        <v>-0.35200000000000031</v>
      </c>
      <c r="D41" s="5">
        <f t="shared" si="17"/>
        <v>-8.2000000000000739E-2</v>
      </c>
      <c r="E41" s="5">
        <f t="shared" si="17"/>
        <v>3.4379999999999997</v>
      </c>
      <c r="F41" s="5">
        <f t="shared" si="17"/>
        <v>-1.1120000000000001</v>
      </c>
      <c r="G41" s="5">
        <f t="shared" si="17"/>
        <v>-1.5420000000000007</v>
      </c>
      <c r="H41" s="5">
        <f t="shared" si="17"/>
        <v>1.3579999999999997</v>
      </c>
      <c r="I41" s="5">
        <f t="shared" si="17"/>
        <v>-0.5420000000000007</v>
      </c>
      <c r="J41" s="5">
        <f t="shared" si="17"/>
        <v>0.37799999999999923</v>
      </c>
      <c r="K41" s="5">
        <f t="shared" si="17"/>
        <v>1.0579999999999998</v>
      </c>
      <c r="L41" s="5">
        <f t="shared" si="9"/>
        <v>-4.4408920985006262E-16</v>
      </c>
    </row>
    <row r="42" spans="1:15" ht="13.5" customHeight="1" x14ac:dyDescent="0.25">
      <c r="A42" s="8" t="s">
        <v>21</v>
      </c>
      <c r="B42" s="5">
        <f t="shared" ref="B42:K42" si="18">B12-$L12</f>
        <v>-2.0299999999999994</v>
      </c>
      <c r="C42" s="5">
        <f t="shared" si="18"/>
        <v>2.9800000000000004</v>
      </c>
      <c r="D42" s="5">
        <f t="shared" si="18"/>
        <v>-3.5299999999999994</v>
      </c>
      <c r="E42" s="5">
        <f t="shared" si="18"/>
        <v>4.01</v>
      </c>
      <c r="F42" s="5">
        <f t="shared" si="18"/>
        <v>-2.4399999999999995</v>
      </c>
      <c r="G42" s="5">
        <f t="shared" si="18"/>
        <v>-0.90999999999999925</v>
      </c>
      <c r="H42" s="5">
        <f t="shared" si="18"/>
        <v>1.3100000000000005</v>
      </c>
      <c r="I42" s="5">
        <f t="shared" si="18"/>
        <v>-0.99999999999999911</v>
      </c>
      <c r="J42" s="5">
        <f t="shared" si="18"/>
        <v>2.0000000000000462E-2</v>
      </c>
      <c r="K42" s="5">
        <f t="shared" si="18"/>
        <v>1.5899999999999999</v>
      </c>
      <c r="L42" s="5">
        <f t="shared" si="9"/>
        <v>4.4408920985006262E-16</v>
      </c>
    </row>
    <row r="43" spans="1:15" ht="13.5" customHeight="1" x14ac:dyDescent="0.25">
      <c r="A43" s="4" t="s">
        <v>22</v>
      </c>
      <c r="B43" s="6">
        <f t="shared" ref="B43:K43" si="19">B13-$L13</f>
        <v>-1.6400000000000006</v>
      </c>
      <c r="C43" s="6">
        <f t="shared" si="19"/>
        <v>2.3099999999999996</v>
      </c>
      <c r="D43" s="6">
        <f t="shared" si="19"/>
        <v>-1.3800000000000008</v>
      </c>
      <c r="E43" s="6">
        <f t="shared" si="19"/>
        <v>2.7</v>
      </c>
      <c r="F43" s="6">
        <f t="shared" si="19"/>
        <v>-1.9300000000000006</v>
      </c>
      <c r="G43" s="6">
        <f t="shared" si="19"/>
        <v>-1.4300000000000006</v>
      </c>
      <c r="H43" s="6">
        <f t="shared" si="19"/>
        <v>-0.28000000000000025</v>
      </c>
      <c r="I43" s="6">
        <f t="shared" si="19"/>
        <v>-1.1700000000000008</v>
      </c>
      <c r="J43" s="6">
        <f t="shared" si="19"/>
        <v>1.1199999999999992</v>
      </c>
      <c r="K43" s="6">
        <f t="shared" si="19"/>
        <v>1.6999999999999993</v>
      </c>
      <c r="L43" s="5">
        <f t="shared" si="9"/>
        <v>-5.3290705182007512E-16</v>
      </c>
    </row>
    <row r="44" spans="1:15" ht="13.5" customHeight="1" x14ac:dyDescent="0.25">
      <c r="B44" s="5">
        <f>AVERAGE(B32:B43)</f>
        <v>-1.9029166666666668</v>
      </c>
      <c r="C44" s="5">
        <f t="shared" ref="C44:K44" si="20">AVERAGE(C32:C43)</f>
        <v>1.6020833333333331</v>
      </c>
      <c r="D44" s="5">
        <f t="shared" si="20"/>
        <v>-1.5787500000000001</v>
      </c>
      <c r="E44" s="5">
        <f t="shared" si="20"/>
        <v>3.2929166666666672</v>
      </c>
      <c r="F44" s="5">
        <f t="shared" si="20"/>
        <v>-1.794583333333333</v>
      </c>
      <c r="G44" s="5">
        <f t="shared" si="20"/>
        <v>-1.2962500000000003</v>
      </c>
      <c r="H44" s="5">
        <f t="shared" si="20"/>
        <v>0.17208333333333337</v>
      </c>
      <c r="I44" s="5">
        <f t="shared" si="20"/>
        <v>-0.33458333333333329</v>
      </c>
      <c r="J44" s="5">
        <f t="shared" si="20"/>
        <v>0.33958333333333329</v>
      </c>
      <c r="K44" s="5">
        <f t="shared" si="20"/>
        <v>1.5004166666666665</v>
      </c>
    </row>
    <row r="46" spans="1:15" ht="13.5" customHeight="1" x14ac:dyDescent="0.2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3" t="s">
        <v>8</v>
      </c>
      <c r="J46" s="3" t="s">
        <v>9</v>
      </c>
      <c r="K46" s="3" t="s">
        <v>10</v>
      </c>
    </row>
    <row r="47" spans="1:15" ht="13.5" customHeight="1" x14ac:dyDescent="0.25">
      <c r="A47" s="8" t="s">
        <v>11</v>
      </c>
      <c r="B47" s="9">
        <f>B2-B$14-$L2+$L$14</f>
        <v>4.7916666666669272E-2</v>
      </c>
      <c r="C47" s="9">
        <f t="shared" ref="C47:K47" si="21">C2-C$14-$L2+$L$14</f>
        <v>6.2916666666667176E-2</v>
      </c>
      <c r="D47" s="9">
        <f t="shared" si="21"/>
        <v>-0.24624999999999808</v>
      </c>
      <c r="E47" s="9">
        <f t="shared" si="21"/>
        <v>-0.617916666666666</v>
      </c>
      <c r="F47" s="9">
        <f t="shared" si="21"/>
        <v>0.53958333333333552</v>
      </c>
      <c r="G47" s="9">
        <f t="shared" si="21"/>
        <v>-7.8749999999997655E-2</v>
      </c>
      <c r="H47" s="9">
        <f t="shared" si="21"/>
        <v>0.42291666666666838</v>
      </c>
      <c r="I47" s="9">
        <f t="shared" si="21"/>
        <v>0.84958333333333602</v>
      </c>
      <c r="J47" s="9">
        <f t="shared" si="21"/>
        <v>-0.44458333333332956</v>
      </c>
      <c r="K47" s="9">
        <f t="shared" si="21"/>
        <v>-0.53541666666666554</v>
      </c>
      <c r="L47" s="5">
        <f>AVERAGE(B47:K47)</f>
        <v>1.9539925233402757E-15</v>
      </c>
    </row>
    <row r="48" spans="1:15" ht="13.5" customHeight="1" x14ac:dyDescent="0.25">
      <c r="A48" s="8" t="s">
        <v>12</v>
      </c>
      <c r="B48" s="9">
        <f t="shared" ref="B48:K48" si="22">B3-B$14-$L3+$L$14</f>
        <v>0.89291666666666814</v>
      </c>
      <c r="C48" s="9">
        <f t="shared" si="22"/>
        <v>1.0579166666666664</v>
      </c>
      <c r="D48" s="9">
        <f t="shared" si="22"/>
        <v>-0.71124999999999972</v>
      </c>
      <c r="E48" s="9">
        <f t="shared" si="22"/>
        <v>0.18708333333333282</v>
      </c>
      <c r="F48" s="9">
        <f t="shared" si="22"/>
        <v>-0.37541666666666629</v>
      </c>
      <c r="G48" s="9">
        <f t="shared" si="22"/>
        <v>-1.3749999999998153E-2</v>
      </c>
      <c r="H48" s="9">
        <f t="shared" si="22"/>
        <v>-0.48208333333333275</v>
      </c>
      <c r="I48" s="9">
        <f t="shared" si="22"/>
        <v>-0.46541666666666526</v>
      </c>
      <c r="J48" s="9">
        <f t="shared" si="22"/>
        <v>0.20041666666666913</v>
      </c>
      <c r="K48" s="9">
        <f t="shared" si="22"/>
        <v>-0.29041666666666632</v>
      </c>
      <c r="L48" s="5">
        <f t="shared" ref="L48:L58" si="23">AVERAGE(B48:K48)</f>
        <v>7.9936057773011273E-16</v>
      </c>
    </row>
    <row r="49" spans="1:14" ht="13.5" customHeight="1" x14ac:dyDescent="0.25">
      <c r="A49" s="8" t="s">
        <v>13</v>
      </c>
      <c r="B49" s="9">
        <f t="shared" ref="B49:K49" si="24">B4-B$14-$L4+$L$14</f>
        <v>0.33591666666666775</v>
      </c>
      <c r="C49" s="9">
        <f t="shared" si="24"/>
        <v>-1.959083333333334</v>
      </c>
      <c r="D49" s="9">
        <f t="shared" si="24"/>
        <v>2.2817499999999997</v>
      </c>
      <c r="E49" s="9">
        <f t="shared" si="24"/>
        <v>-1.0899166666666673</v>
      </c>
      <c r="F49" s="9">
        <f t="shared" si="24"/>
        <v>0.27758333333333418</v>
      </c>
      <c r="G49" s="9">
        <f t="shared" si="24"/>
        <v>-4.0749999999999176E-2</v>
      </c>
      <c r="H49" s="9">
        <f t="shared" si="24"/>
        <v>-1.0190833333333327</v>
      </c>
      <c r="I49" s="9">
        <f t="shared" si="24"/>
        <v>1.4975833333333339</v>
      </c>
      <c r="J49" s="9">
        <f t="shared" si="24"/>
        <v>-0.6365833333333315</v>
      </c>
      <c r="K49" s="9">
        <f t="shared" si="24"/>
        <v>0.35258333333333347</v>
      </c>
      <c r="L49" s="5">
        <f t="shared" si="23"/>
        <v>4.4408920985006262E-16</v>
      </c>
    </row>
    <row r="50" spans="1:14" ht="13.5" customHeight="1" x14ac:dyDescent="0.25">
      <c r="A50" s="8" t="s">
        <v>14</v>
      </c>
      <c r="B50" s="9">
        <f t="shared" ref="B50:K50" si="25">B5-B$14-$L5+$L$14</f>
        <v>0.28291666666666782</v>
      </c>
      <c r="C50" s="9">
        <f t="shared" si="25"/>
        <v>-0.29208333333333414</v>
      </c>
      <c r="D50" s="9">
        <f t="shared" si="25"/>
        <v>-1.28125</v>
      </c>
      <c r="E50" s="9">
        <f t="shared" si="25"/>
        <v>-0.16291666666666593</v>
      </c>
      <c r="F50" s="9">
        <f t="shared" si="25"/>
        <v>-0.14541666666666586</v>
      </c>
      <c r="G50" s="9">
        <f t="shared" si="25"/>
        <v>0.55625000000000124</v>
      </c>
      <c r="H50" s="9">
        <f t="shared" si="25"/>
        <v>0.33791666666666753</v>
      </c>
      <c r="I50" s="9">
        <f t="shared" si="25"/>
        <v>0.35458333333333414</v>
      </c>
      <c r="J50" s="9">
        <f t="shared" si="25"/>
        <v>0.41041666666666909</v>
      </c>
      <c r="K50" s="9">
        <f t="shared" si="25"/>
        <v>-6.0416666666665897E-2</v>
      </c>
      <c r="L50" s="5">
        <f t="shared" si="23"/>
        <v>7.9936057773011273E-16</v>
      </c>
      <c r="N50" s="2" t="s">
        <v>27</v>
      </c>
    </row>
    <row r="51" spans="1:14" ht="13.5" customHeight="1" x14ac:dyDescent="0.25">
      <c r="A51" s="8" t="s">
        <v>15</v>
      </c>
      <c r="B51" s="9">
        <f t="shared" ref="B51:K51" si="26">B6-B$14-$L6+$L$14</f>
        <v>0.16191666666666826</v>
      </c>
      <c r="C51" s="9">
        <f t="shared" si="26"/>
        <v>-0.20308333333333373</v>
      </c>
      <c r="D51" s="9">
        <f t="shared" si="26"/>
        <v>-0.9322499999999998</v>
      </c>
      <c r="E51" s="9">
        <f t="shared" si="26"/>
        <v>0.45608333333333384</v>
      </c>
      <c r="F51" s="9">
        <f t="shared" si="26"/>
        <v>-7.6416666666665023E-2</v>
      </c>
      <c r="G51" s="9">
        <f t="shared" si="26"/>
        <v>0.26525000000000176</v>
      </c>
      <c r="H51" s="9">
        <f t="shared" si="26"/>
        <v>0.5169166666666678</v>
      </c>
      <c r="I51" s="9">
        <f t="shared" si="26"/>
        <v>2.3583333333334622E-2</v>
      </c>
      <c r="J51" s="9">
        <f t="shared" si="26"/>
        <v>1.0994166666666692</v>
      </c>
      <c r="K51" s="9">
        <f t="shared" si="26"/>
        <v>-1.3114166666666662</v>
      </c>
      <c r="L51" s="5">
        <f t="shared" si="23"/>
        <v>1.0658141036401502E-15</v>
      </c>
    </row>
    <row r="52" spans="1:14" ht="13.5" customHeight="1" x14ac:dyDescent="0.25">
      <c r="A52" s="8" t="s">
        <v>16</v>
      </c>
      <c r="B52" s="9">
        <f t="shared" ref="B52:K52" si="27">B7-B$14-$L7+$L$14</f>
        <v>-1.3330833333333327</v>
      </c>
      <c r="C52" s="9">
        <f t="shared" si="27"/>
        <v>-0.25808333333333433</v>
      </c>
      <c r="D52" s="9">
        <f t="shared" si="27"/>
        <v>0.23275000000000023</v>
      </c>
      <c r="E52" s="9">
        <f t="shared" si="27"/>
        <v>0.30108333333333359</v>
      </c>
      <c r="F52" s="9">
        <f t="shared" si="27"/>
        <v>-0.12141666666666584</v>
      </c>
      <c r="G52" s="9">
        <f t="shared" si="27"/>
        <v>0.4402500000000007</v>
      </c>
      <c r="H52" s="9">
        <f t="shared" si="27"/>
        <v>-2.0180833333333323</v>
      </c>
      <c r="I52" s="9">
        <f t="shared" si="27"/>
        <v>0.20858333333333423</v>
      </c>
      <c r="J52" s="9">
        <f t="shared" si="27"/>
        <v>0.96441666666666848</v>
      </c>
      <c r="K52" s="9">
        <f t="shared" si="27"/>
        <v>1.5835833333333342</v>
      </c>
      <c r="L52" s="5">
        <f t="shared" si="23"/>
        <v>6.2172489379008762E-16</v>
      </c>
    </row>
    <row r="53" spans="1:14" ht="13.5" customHeight="1" x14ac:dyDescent="0.25">
      <c r="A53" s="8" t="s">
        <v>17</v>
      </c>
      <c r="B53" s="9">
        <f t="shared" ref="B53:K53" si="28">B8-B$14-$L8+$L$14</f>
        <v>4.691666666666805E-2</v>
      </c>
      <c r="C53" s="9">
        <f t="shared" si="28"/>
        <v>0.9719166666666661</v>
      </c>
      <c r="D53" s="9">
        <f t="shared" si="28"/>
        <v>-0.91724999999999923</v>
      </c>
      <c r="E53" s="9">
        <f t="shared" si="28"/>
        <v>0.8610833333333332</v>
      </c>
      <c r="F53" s="9">
        <f t="shared" si="28"/>
        <v>-0.67141666666666566</v>
      </c>
      <c r="G53" s="9">
        <f t="shared" si="28"/>
        <v>-0.95974999999999877</v>
      </c>
      <c r="H53" s="9">
        <f t="shared" si="28"/>
        <v>1.4919166666666674</v>
      </c>
      <c r="I53" s="9">
        <f t="shared" si="28"/>
        <v>-0.99141666666666595</v>
      </c>
      <c r="J53" s="9">
        <f t="shared" si="28"/>
        <v>-8.5583333333331346E-2</v>
      </c>
      <c r="K53" s="9">
        <f t="shared" si="28"/>
        <v>0.25358333333333327</v>
      </c>
      <c r="L53" s="5">
        <f t="shared" si="23"/>
        <v>7.1054273576010023E-16</v>
      </c>
    </row>
    <row r="54" spans="1:14" ht="13.5" customHeight="1" x14ac:dyDescent="0.25">
      <c r="A54" s="8" t="s">
        <v>18</v>
      </c>
      <c r="B54" s="9">
        <f t="shared" ref="B54:K54" si="29">B9-B$14-$L9+$L$14</f>
        <v>-3.5083333333330913E-2</v>
      </c>
      <c r="C54" s="9">
        <f t="shared" si="29"/>
        <v>-1.0083333333333222E-2</v>
      </c>
      <c r="D54" s="9">
        <f t="shared" si="29"/>
        <v>1.2307500000000013</v>
      </c>
      <c r="E54" s="9">
        <f t="shared" si="29"/>
        <v>-0.53091666666666626</v>
      </c>
      <c r="F54" s="9">
        <f t="shared" si="29"/>
        <v>0.26658333333333495</v>
      </c>
      <c r="G54" s="9">
        <f t="shared" si="29"/>
        <v>6.8250000000001698E-2</v>
      </c>
      <c r="H54" s="9">
        <f t="shared" si="29"/>
        <v>-0.63008333333333155</v>
      </c>
      <c r="I54" s="9">
        <f t="shared" si="29"/>
        <v>1.1265833333333353</v>
      </c>
      <c r="J54" s="9">
        <f t="shared" si="29"/>
        <v>-1.4075833333333305</v>
      </c>
      <c r="K54" s="9">
        <f t="shared" si="29"/>
        <v>-7.8416666666665691E-2</v>
      </c>
      <c r="L54" s="5">
        <f t="shared" si="23"/>
        <v>1.5099033134902129E-15</v>
      </c>
    </row>
    <row r="55" spans="1:14" ht="13.5" customHeight="1" x14ac:dyDescent="0.25">
      <c r="A55" s="8" t="s">
        <v>19</v>
      </c>
      <c r="B55" s="9">
        <f t="shared" ref="B55:K55" si="30">B10-B$14-$L10+$L$14</f>
        <v>0.1629166666666686</v>
      </c>
      <c r="C55" s="9">
        <f t="shared" si="30"/>
        <v>0.4979166666666659</v>
      </c>
      <c r="D55" s="9">
        <f t="shared" si="30"/>
        <v>0.59875000000000078</v>
      </c>
      <c r="E55" s="9">
        <f t="shared" si="30"/>
        <v>0.32708333333333428</v>
      </c>
      <c r="F55" s="9">
        <f t="shared" si="30"/>
        <v>0.40458333333333485</v>
      </c>
      <c r="G55" s="9">
        <f t="shared" si="30"/>
        <v>-0.24374999999999858</v>
      </c>
      <c r="H55" s="9">
        <f t="shared" si="30"/>
        <v>-0.49208333333333165</v>
      </c>
      <c r="I55" s="9">
        <f t="shared" si="30"/>
        <v>-0.89541666666666497</v>
      </c>
      <c r="J55" s="9">
        <f t="shared" si="30"/>
        <v>-0.59958333333333069</v>
      </c>
      <c r="K55" s="9">
        <f t="shared" si="30"/>
        <v>0.23958333333333393</v>
      </c>
      <c r="L55" s="5">
        <f t="shared" si="23"/>
        <v>1.2434497875801752E-15</v>
      </c>
    </row>
    <row r="56" spans="1:14" ht="13.5" customHeight="1" x14ac:dyDescent="0.25">
      <c r="A56" s="8" t="s">
        <v>20</v>
      </c>
      <c r="B56" s="9">
        <f t="shared" ref="B56:K56" si="31">B11-B$14-$L11+$L$14</f>
        <v>-0.69908333333333239</v>
      </c>
      <c r="C56" s="9">
        <f t="shared" si="31"/>
        <v>-1.9540833333333341</v>
      </c>
      <c r="D56" s="9">
        <f t="shared" si="31"/>
        <v>1.4967499999999996</v>
      </c>
      <c r="E56" s="9">
        <f t="shared" si="31"/>
        <v>0.14508333333333301</v>
      </c>
      <c r="F56" s="9">
        <f t="shared" si="31"/>
        <v>0.68258333333333443</v>
      </c>
      <c r="G56" s="9">
        <f t="shared" si="31"/>
        <v>-0.24574999999999925</v>
      </c>
      <c r="H56" s="9">
        <f t="shared" si="31"/>
        <v>1.1859166666666674</v>
      </c>
      <c r="I56" s="9">
        <f t="shared" si="31"/>
        <v>-0.20741666666666614</v>
      </c>
      <c r="J56" s="9">
        <f t="shared" si="31"/>
        <v>3.841666666666832E-2</v>
      </c>
      <c r="K56" s="9">
        <f t="shared" si="31"/>
        <v>-0.44241666666666646</v>
      </c>
      <c r="L56" s="5">
        <f t="shared" si="23"/>
        <v>4.4408920985006262E-16</v>
      </c>
    </row>
    <row r="57" spans="1:14" ht="13.5" customHeight="1" x14ac:dyDescent="0.25">
      <c r="A57" s="8" t="s">
        <v>21</v>
      </c>
      <c r="B57" s="9">
        <f t="shared" ref="B57:K57" si="32">B12-B$14-$L12+$L$14</f>
        <v>-0.12708333333333144</v>
      </c>
      <c r="C57" s="9">
        <f t="shared" si="32"/>
        <v>1.3779166666666667</v>
      </c>
      <c r="D57" s="9">
        <f t="shared" si="32"/>
        <v>-1.951249999999999</v>
      </c>
      <c r="E57" s="9">
        <f t="shared" si="32"/>
        <v>0.71708333333333307</v>
      </c>
      <c r="F57" s="9">
        <f t="shared" si="32"/>
        <v>-0.64541666666666497</v>
      </c>
      <c r="G57" s="9">
        <f t="shared" si="32"/>
        <v>0.3862500000000022</v>
      </c>
      <c r="H57" s="9">
        <f t="shared" si="32"/>
        <v>1.1379166666666682</v>
      </c>
      <c r="I57" s="9">
        <f t="shared" si="32"/>
        <v>-0.66541666666666455</v>
      </c>
      <c r="J57" s="9">
        <f t="shared" si="32"/>
        <v>-0.31958333333333044</v>
      </c>
      <c r="K57" s="9">
        <f t="shared" si="32"/>
        <v>8.958333333333357E-2</v>
      </c>
      <c r="L57" s="5">
        <f t="shared" si="23"/>
        <v>1.3322676295501878E-15</v>
      </c>
    </row>
    <row r="58" spans="1:14" ht="13.5" customHeight="1" x14ac:dyDescent="0.25">
      <c r="A58" s="4" t="s">
        <v>22</v>
      </c>
      <c r="B58" s="6">
        <f t="shared" ref="B58:K58" si="33">B13-B$14-$L13+$L$14</f>
        <v>0.26291666666666735</v>
      </c>
      <c r="C58" s="6">
        <f t="shared" si="33"/>
        <v>0.70791666666666586</v>
      </c>
      <c r="D58" s="6">
        <f t="shared" si="33"/>
        <v>0.19874999999999954</v>
      </c>
      <c r="E58" s="6">
        <f t="shared" si="33"/>
        <v>-0.59291666666666654</v>
      </c>
      <c r="F58" s="6">
        <f t="shared" si="33"/>
        <v>-0.13541666666666607</v>
      </c>
      <c r="G58" s="6">
        <f t="shared" si="33"/>
        <v>-0.13374999999999915</v>
      </c>
      <c r="H58" s="6">
        <f t="shared" si="33"/>
        <v>-0.4520833333333325</v>
      </c>
      <c r="I58" s="6">
        <f t="shared" si="33"/>
        <v>-0.83541666666666625</v>
      </c>
      <c r="J58" s="6">
        <f t="shared" si="33"/>
        <v>0.78041666666666831</v>
      </c>
      <c r="K58" s="6">
        <f t="shared" si="33"/>
        <v>0.199583333333333</v>
      </c>
      <c r="L58" s="5">
        <f t="shared" si="23"/>
        <v>3.5527136788005011E-16</v>
      </c>
    </row>
    <row r="59" spans="1:14" ht="13.5" customHeight="1" x14ac:dyDescent="0.25">
      <c r="B59" s="5">
        <f>AVERAGE(B47:B58)</f>
        <v>1.4802973661668755E-15</v>
      </c>
      <c r="C59" s="5">
        <f t="shared" ref="C59:K59" si="34">AVERAGE(C47:C58)</f>
        <v>-4.4408920985006262E-16</v>
      </c>
      <c r="D59" s="5">
        <f t="shared" si="34"/>
        <v>4.4408920985006262E-16</v>
      </c>
      <c r="E59" s="5">
        <f t="shared" si="34"/>
        <v>1.4802973661668753E-16</v>
      </c>
      <c r="F59" s="5">
        <f t="shared" si="34"/>
        <v>1.1842378929335002E-15</v>
      </c>
      <c r="G59" s="5">
        <f t="shared" si="34"/>
        <v>1.4062824978585316E-15</v>
      </c>
      <c r="H59" s="5">
        <f t="shared" si="34"/>
        <v>1.1102230246251565E-15</v>
      </c>
      <c r="I59" s="5">
        <f t="shared" si="34"/>
        <v>1.2582527612418441E-15</v>
      </c>
      <c r="J59" s="5">
        <f t="shared" si="34"/>
        <v>2.3684757858670005E-15</v>
      </c>
      <c r="K59" s="5">
        <f t="shared" si="34"/>
        <v>4.4408920985006262E-16</v>
      </c>
      <c r="L59" s="5">
        <f>AVERAGE(B47:K58)</f>
        <v>9.3998882751596588E-16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Tassinari</dc:creator>
  <cp:lastModifiedBy>Rafael Tassinari</cp:lastModifiedBy>
  <dcterms:created xsi:type="dcterms:W3CDTF">2026-04-01T17:15:44Z</dcterms:created>
  <dcterms:modified xsi:type="dcterms:W3CDTF">2026-04-01T18:14:09Z</dcterms:modified>
</cp:coreProperties>
</file>